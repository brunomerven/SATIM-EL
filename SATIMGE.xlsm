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-EL\"/>
    </mc:Choice>
  </mc:AlternateContent>
  <xr:revisionPtr revIDLastSave="0" documentId="13_ncr:1_{FBE13B08-3E97-4177-AAB6-FF30EE5350F2}" xr6:coauthVersionLast="47" xr6:coauthVersionMax="47" xr10:uidLastSave="{00000000-0000-0000-0000-000000000000}"/>
  <bookViews>
    <workbookView xWindow="-120" yWindow="-120" windowWidth="29040" windowHeight="15840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Scenarios!$A$9:$BH$104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5" r:id="rId9"/>
    <pivotCache cacheId="1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9" i="5" l="1"/>
  <c r="AF10" i="5" s="1"/>
  <c r="AF11" i="5" s="1"/>
  <c r="AF12" i="5" s="1"/>
  <c r="AF13" i="5" s="1"/>
  <c r="AF14" i="5" s="1"/>
  <c r="AF15" i="5" s="1"/>
  <c r="AF16" i="5" s="1"/>
  <c r="AF8" i="5"/>
  <c r="AD9" i="5"/>
  <c r="AD10" i="5"/>
  <c r="AD11" i="5" s="1"/>
  <c r="AD12" i="5" s="1"/>
  <c r="AD13" i="5" s="1"/>
  <c r="AD14" i="5" s="1"/>
  <c r="AD15" i="5" s="1"/>
  <c r="AD16" i="5" s="1"/>
  <c r="AD8" i="5"/>
  <c r="A6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tc={AC5BA943-4423-40A4-AA9B-8D35175CED98}</author>
    <author>tc={230F7878-D483-4C16-85B5-F653F61B75CE}</author>
    <author>tc={CA059FA7-08E5-486C-AB3A-7B25C83F46A7}</author>
    <author>tc={89A69CC2-61DB-4968-9058-E96CBEDE74A3}</author>
    <author>tc={1B64D05D-4765-442D-B929-37345BFEADDA}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AC5BA943-4423-40A4-AA9B-8D35175CED9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CA059FA7-08E5-486C-AB3A-7B25C83F46A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89A69CC2-61DB-4968-9058-E96CBEDE74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1B64D05D-4765-442D-B929-37345BFEADD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18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19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6" authorId="20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<sst xmlns="http://schemas.openxmlformats.org/spreadsheetml/2006/main" count="339" uniqueCount="241">
  <si>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</si>
  <si>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</si>
  <si>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</si>
  <si>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</si>
  <si>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</si>
  <si>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</si>
  <si>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</si>
  <si>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</si>
  <si>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</si>
  <si>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</si>
  <si>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</si>
  <si>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</si>
  <si>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</si>
  <si>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</si>
  <si>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</si>
  <si>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</si>
  <si>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</si>
  <si>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</si>
  <si>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</si>
  <si>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</si>
  <si>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</si>
  <si>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</si>
  <si>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</si>
  <si>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</si>
  <si>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</si>
  <si>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</si>
  <si>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</si>
  <si>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</si>
  <si>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</si>
  <si>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</si>
  <si>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</si>
  <si>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</si>
  <si>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</si>
  <si>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</si>
  <si>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</si>
  <si>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</si>
  <si>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</si>
  <si>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</si>
  <si>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</si>
  <si>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</si>
  <si>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</si>
  <si>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</si>
  <si>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</si>
  <si>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</si>
  <si>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</si>
  <si>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</si>
  <si>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</si>
  <si>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</si>
  <si>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</si>
  <si>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</si>
  <si>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</si>
  <si>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</si>
  <si>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</si>
  <si>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</si>
  <si>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</si>
  <si>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</si>
  <si>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</si>
  <si>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</si>
  <si>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</si>
  <si>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</si>
  <si>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</si>
  <si>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</si>
  <si>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</si>
  <si>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</si>
  <si>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</si>
  <si>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</si>
  <si>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</si>
  <si>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</si>
  <si>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</si>
  <si>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</si>
  <si>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</si>
  <si>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</si>
  <si>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</si>
  <si>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</si>
  <si>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</si>
  <si>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</si>
  <si>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</si>
  <si>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</si>
  <si>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</si>
  <si>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</si>
  <si>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</si>
  <si>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</si>
  <si>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</si>
  <si>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</si>
  <si>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</si>
  <si>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</si>
  <si>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</si>
  <si>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</si>
  <si>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</si>
  <si>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</si>
  <si>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</si>
  <si>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</si>
  <si>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</si>
  <si>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</si>
  <si>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</si>
  <si>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</si>
  <si>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</si>
  <si>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</si>
  <si>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</si>
  <si>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</si>
  <si>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</si>
  <si>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</si>
  <si>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</si>
  <si>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</si>
  <si>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</si>
  <si>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</si>
  <si>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</si>
  <si>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</si>
  <si>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</si>
  <si>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</si>
  <si>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</si>
  <si>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</si>
  <si>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</si>
  <si>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</si>
  <si>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</si>
  <si>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</si>
  <si>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</si>
  <si>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</si>
  <si>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</si>
  <si>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</si>
  <si>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</si>
  <si>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</si>
  <si>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</si>
  <si>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</si>
  <si>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</si>
  <si>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</si>
  <si>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</si>
  <si>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</si>
  <si>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</si>
  <si>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</si>
  <si>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</si>
  <si>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</si>
  <si>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</si>
  <si>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</si>
  <si>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</si>
  <si>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</si>
  <si>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</si>
  <si>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</si>
  <si>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</si>
  <si>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</si>
  <si>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</si>
  <si>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</si>
  <si>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</si>
  <si>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</si>
  <si>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</si>
  <si>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</si>
  <si>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</si>
  <si>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</si>
  <si>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</si>
  <si>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</si>
  <si>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</si>
  <si>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</si>
  <si>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</si>
  <si>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</si>
  <si>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</si>
  <si>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</si>
  <si>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</si>
  <si>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</si>
  <si>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</si>
  <si>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</si>
  <si>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</si>
  <si>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</si>
  <si>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</si>
  <si>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</si>
  <si>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</si>
  <si>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</si>
  <si>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</si>
  <si>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</si>
  <si>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</si>
  <si>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</si>
  <si>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</si>
  <si>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</si>
  <si>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</si>
  <si>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</si>
  <si>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</si>
  <si>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</si>
  <si>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</si>
  <si>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</si>
  <si>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</si>
  <si>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</si>
  <si>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</si>
  <si>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</si>
  <si>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</si>
  <si>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</si>
  <si>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</si>
  <si>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</si>
  <si>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</si>
  <si>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</si>
  <si>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</si>
  <si>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</si>
  <si>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</si>
  <si>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</si>
  <si>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</si>
  <si>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</si>
  <si>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</si>
  <si>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</si>
  <si>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</si>
  <si>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</si>
  <si>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</si>
  <si>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</si>
  <si>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</si>
  <si>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</si>
  <si>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</si>
  <si>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</si>
  <si>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</si>
  <si>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</si>
  <si>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</si>
  <si>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</si>
  <si>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</si>
  <si>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</si>
  <si>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</si>
  <si>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</si>
  <si>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</si>
  <si>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</si>
  <si>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</si>
  <si>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</si>
  <si>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</si>
  <si>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99T0E0S0P0G0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</si>
  <si>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</si>
  <si>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</si>
  <si>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</si>
  <si>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</si>
  <si>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</si>
  <si>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</si>
  <si>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</si>
  <si>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</si>
  <si>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</si>
  <si>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</si>
  <si>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</si>
  <si>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</si>
  <si>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</si>
  <si>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</si>
  <si>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</si>
  <si>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</si>
  <si>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</si>
  <si>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</si>
  <si>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</si>
  <si>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</si>
  <si>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</si>
  <si>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HiRes1</t>
  </si>
  <si>
    <t>Run00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</si>
</sst>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6" fillId="14" borderId="4" xfId="86" applyFill="1" applyAlignment="1">
      <alignment horizontal="left" vertical="top"/>
    </xf>
    <xf numFmtId="0" fontId="0" fillId="14" borderId="0" xfId="0" applyFill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21.548021064817" createdVersion="6" refreshedVersion="8" minRefreshableVersion="3" recordCount="97" xr:uid="{D229C3DF-142A-4D15-BB2C-2EA205AB0203}">
  <cacheSource type="worksheet">
    <worksheetSource ref="A9:P12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HiRes1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21.548021527778" createdVersion="6" refreshedVersion="8" minRefreshableVersion="3" recordCount="97" xr:uid="{C0EB43E8-6CC6-4DE4-B7F1-02B09F7BA69A}">
  <cacheSource type="worksheet">
    <worksheetSource ref="A9:P119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HiRes1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96">
        <s v="Run00"/>
        <m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n v="1"/>
    <x v="0"/>
    <s v="yes tested"/>
    <s v="base"/>
    <s v="Run00"/>
    <n v="0"/>
    <n v="0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n v="1"/>
    <x v="0"/>
    <s v="yes tested"/>
    <x v="0"/>
    <x v="0"/>
    <n v="0"/>
    <n v="0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8" firstHeaderRow="0" firstDataRow="1" firstDataCol="1"/>
  <pivotFields count="16">
    <pivotField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">
    <i>
      <x/>
    </i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8" firstHeaderRow="1" firstDataRow="1" firstDataCol="1"/>
  <pivotFields count="16">
    <pivotField showAll="0"/>
    <pivotField showAll="0"/>
    <pivotField showAll="0"/>
    <pivotField showAll="0"/>
    <pivotField axis="axisRow" showAll="0">
      <items count="197">
        <item m="1" x="122"/>
        <item m="1" x="89"/>
        <item m="1" x="79"/>
        <item x="1"/>
        <item m="1" x="88"/>
        <item m="1" x="32"/>
        <item m="1" x="108"/>
        <item m="1" x="130"/>
        <item m="1" x="82"/>
        <item m="1" x="90"/>
        <item m="1" x="83"/>
        <item m="1" x="60"/>
        <item m="1" x="7"/>
        <item m="1" x="104"/>
        <item m="1" x="5"/>
        <item m="1" x="172"/>
        <item m="1" x="51"/>
        <item m="1" x="153"/>
        <item m="1" x="166"/>
        <item m="1" x="61"/>
        <item m="1" x="54"/>
        <item m="1" x="159"/>
        <item m="1" x="115"/>
        <item m="1" x="116"/>
        <item m="1" x="155"/>
        <item m="1" x="74"/>
        <item m="1" x="148"/>
        <item m="1" x="21"/>
        <item m="1" x="42"/>
        <item m="1" x="192"/>
        <item m="1" x="124"/>
        <item m="1" x="167"/>
        <item m="1" x="93"/>
        <item m="1" x="169"/>
        <item m="1" x="179"/>
        <item m="1" x="101"/>
        <item m="1" x="126"/>
        <item m="1" x="120"/>
        <item m="1" x="164"/>
        <item m="1" x="162"/>
        <item m="1" x="47"/>
        <item m="1" x="184"/>
        <item m="1" x="118"/>
        <item m="1" x="144"/>
        <item m="1" x="161"/>
        <item m="1" x="188"/>
        <item m="1" x="195"/>
        <item m="1" x="97"/>
        <item m="1" x="81"/>
        <item m="1" x="80"/>
        <item m="1" x="132"/>
        <item m="1" x="85"/>
        <item m="1" x="141"/>
        <item m="1" x="35"/>
        <item m="1" x="103"/>
        <item m="1" x="139"/>
        <item m="1" x="163"/>
        <item m="1" x="100"/>
        <item m="1" x="91"/>
        <item m="1" x="29"/>
        <item m="1" x="171"/>
        <item m="1" x="49"/>
        <item m="1" x="69"/>
        <item m="1" x="112"/>
        <item m="1" x="123"/>
        <item m="1" x="70"/>
        <item m="1" x="19"/>
        <item m="1" x="117"/>
        <item m="1" x="129"/>
        <item m="1" x="56"/>
        <item m="1" x="152"/>
        <item m="1" x="168"/>
        <item m="1" x="105"/>
        <item m="1" x="59"/>
        <item m="1" x="71"/>
        <item m="1" x="48"/>
        <item m="1" x="134"/>
        <item m="1" x="16"/>
        <item m="1" x="143"/>
        <item m="1" x="160"/>
        <item m="1" x="180"/>
        <item m="1" x="156"/>
        <item m="1" x="174"/>
        <item m="1" x="193"/>
        <item m="1" x="72"/>
        <item m="1" x="151"/>
        <item m="1" x="190"/>
        <item m="1" x="30"/>
        <item m="1" x="44"/>
        <item m="1" x="77"/>
        <item m="1" x="119"/>
        <item m="1" x="22"/>
        <item m="1" x="27"/>
        <item m="1" x="2"/>
        <item m="1" x="13"/>
        <item m="1" x="173"/>
        <item m="1" x="84"/>
        <item m="1" x="170"/>
        <item m="1" x="45"/>
        <item m="1" x="175"/>
        <item m="1" x="138"/>
        <item m="1" x="110"/>
        <item m="1" x="58"/>
        <item m="1" x="137"/>
        <item m="1" x="6"/>
        <item m="1" x="158"/>
        <item m="1" x="87"/>
        <item m="1" x="10"/>
        <item m="1" x="136"/>
        <item m="1" x="18"/>
        <item m="1" x="39"/>
        <item m="1" x="96"/>
        <item m="1" x="62"/>
        <item m="1" x="52"/>
        <item m="1" x="43"/>
        <item m="1" x="189"/>
        <item m="1" x="194"/>
        <item m="1" x="181"/>
        <item m="1" x="187"/>
        <item m="1" x="98"/>
        <item m="1" x="31"/>
        <item m="1" x="20"/>
        <item m="1" x="114"/>
        <item m="1" x="185"/>
        <item m="1" x="78"/>
        <item m="1" x="154"/>
        <item m="1" x="147"/>
        <item m="1" x="146"/>
        <item m="1" x="25"/>
        <item m="1" x="133"/>
        <item m="1" x="64"/>
        <item m="1" x="113"/>
        <item m="1" x="37"/>
        <item m="1" x="12"/>
        <item m="1" x="176"/>
        <item m="1" x="178"/>
        <item m="1" x="76"/>
        <item m="1" x="34"/>
        <item m="1" x="55"/>
        <item m="1" x="50"/>
        <item m="1" x="46"/>
        <item m="1" x="177"/>
        <item m="1" x="17"/>
        <item m="1" x="186"/>
        <item m="1" x="92"/>
        <item m="1" x="142"/>
        <item m="1" x="65"/>
        <item m="1" x="57"/>
        <item m="1" x="66"/>
        <item m="1" x="33"/>
        <item m="1" x="191"/>
        <item m="1" x="111"/>
        <item m="1" x="106"/>
        <item m="1" x="24"/>
        <item m="1" x="157"/>
        <item m="1" x="26"/>
        <item m="1" x="125"/>
        <item m="1" x="102"/>
        <item m="1" x="94"/>
        <item m="1" x="73"/>
        <item m="1" x="53"/>
        <item m="1" x="38"/>
        <item m="1" x="14"/>
        <item m="1" x="8"/>
        <item m="1" x="182"/>
        <item m="1" x="165"/>
        <item m="1" x="23"/>
        <item m="1" x="67"/>
        <item m="1" x="36"/>
        <item m="1" x="9"/>
        <item m="1" x="183"/>
        <item m="1" x="149"/>
        <item m="1" x="131"/>
        <item m="1" x="107"/>
        <item m="1" x="41"/>
        <item m="1" x="11"/>
        <item m="1" x="4"/>
        <item m="1" x="15"/>
        <item m="1" x="28"/>
        <item m="1" x="150"/>
        <item m="1" x="109"/>
        <item m="1" x="68"/>
        <item m="1" x="127"/>
        <item m="1" x="86"/>
        <item m="1" x="63"/>
        <item m="1" x="145"/>
        <item m="1" x="40"/>
        <item m="1" x="99"/>
        <item m="1" x="128"/>
        <item m="1" x="75"/>
        <item m="1" x="140"/>
        <item m="1" x="135"/>
        <item m="1" x="3"/>
        <item m="1" x="121"/>
        <item m="1" x="95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">
    <i>
      <x v="3"/>
    </i>
    <i>
      <x v="19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6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8" firstHeaderRow="1" firstDataRow="1" firstDataCol="1"/>
  <pivotFields count="16">
    <pivotField dataField="1"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/>
    </i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8" firstHeaderRow="1" firstDataRow="1" firstDataCol="1"/>
  <pivotFields count="16">
    <pivotField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/>
    </i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8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m="1" x="122"/>
        <item m="1" x="89"/>
        <item m="1" x="79"/>
        <item x="1"/>
        <item m="1" x="88"/>
        <item m="1" x="32"/>
        <item m="1" x="108"/>
        <item m="1" x="130"/>
        <item m="1" x="82"/>
        <item m="1" x="90"/>
        <item m="1" x="83"/>
        <item m="1" x="60"/>
        <item m="1" x="7"/>
        <item m="1" x="104"/>
        <item m="1" x="5"/>
        <item m="1" x="172"/>
        <item m="1" x="51"/>
        <item m="1" x="153"/>
        <item m="1" x="166"/>
        <item m="1" x="61"/>
        <item m="1" x="54"/>
        <item m="1" x="159"/>
        <item m="1" x="115"/>
        <item m="1" x="116"/>
        <item m="1" x="155"/>
        <item m="1" x="74"/>
        <item m="1" x="148"/>
        <item m="1" x="21"/>
        <item m="1" x="42"/>
        <item m="1" x="192"/>
        <item m="1" x="124"/>
        <item m="1" x="167"/>
        <item m="1" x="93"/>
        <item m="1" x="169"/>
        <item m="1" x="179"/>
        <item m="1" x="101"/>
        <item m="1" x="126"/>
        <item m="1" x="120"/>
        <item m="1" x="164"/>
        <item m="1" x="162"/>
        <item m="1" x="47"/>
        <item m="1" x="184"/>
        <item m="1" x="118"/>
        <item m="1" x="144"/>
        <item m="1" x="161"/>
        <item m="1" x="188"/>
        <item m="1" x="195"/>
        <item m="1" x="97"/>
        <item m="1" x="81"/>
        <item m="1" x="80"/>
        <item m="1" x="132"/>
        <item m="1" x="85"/>
        <item m="1" x="141"/>
        <item m="1" x="35"/>
        <item m="1" x="103"/>
        <item m="1" x="139"/>
        <item m="1" x="163"/>
        <item m="1" x="100"/>
        <item m="1" x="91"/>
        <item m="1" x="29"/>
        <item m="1" x="171"/>
        <item m="1" x="49"/>
        <item m="1" x="69"/>
        <item m="1" x="112"/>
        <item m="1" x="123"/>
        <item m="1" x="70"/>
        <item m="1" x="19"/>
        <item m="1" x="117"/>
        <item m="1" x="129"/>
        <item m="1" x="56"/>
        <item m="1" x="152"/>
        <item m="1" x="168"/>
        <item m="1" x="105"/>
        <item m="1" x="59"/>
        <item m="1" x="71"/>
        <item m="1" x="48"/>
        <item m="1" x="134"/>
        <item m="1" x="16"/>
        <item m="1" x="143"/>
        <item m="1" x="160"/>
        <item m="1" x="180"/>
        <item m="1" x="156"/>
        <item m="1" x="174"/>
        <item m="1" x="193"/>
        <item m="1" x="72"/>
        <item m="1" x="151"/>
        <item m="1" x="190"/>
        <item m="1" x="30"/>
        <item m="1" x="44"/>
        <item m="1" x="77"/>
        <item m="1" x="119"/>
        <item m="1" x="22"/>
        <item m="1" x="27"/>
        <item m="1" x="2"/>
        <item m="1" x="13"/>
        <item m="1" x="173"/>
        <item m="1" x="84"/>
        <item m="1" x="170"/>
        <item m="1" x="45"/>
        <item m="1" x="175"/>
        <item m="1" x="138"/>
        <item m="1" x="110"/>
        <item m="1" x="58"/>
        <item m="1" x="137"/>
        <item m="1" x="6"/>
        <item m="1" x="158"/>
        <item m="1" x="87"/>
        <item m="1" x="10"/>
        <item m="1" x="136"/>
        <item m="1" x="18"/>
        <item m="1" x="39"/>
        <item m="1" x="96"/>
        <item m="1" x="62"/>
        <item m="1" x="52"/>
        <item m="1" x="43"/>
        <item m="1" x="189"/>
        <item m="1" x="194"/>
        <item m="1" x="181"/>
        <item m="1" x="187"/>
        <item m="1" x="98"/>
        <item m="1" x="31"/>
        <item m="1" x="20"/>
        <item m="1" x="114"/>
        <item m="1" x="185"/>
        <item m="1" x="78"/>
        <item m="1" x="154"/>
        <item m="1" x="147"/>
        <item m="1" x="146"/>
        <item m="1" x="25"/>
        <item m="1" x="133"/>
        <item m="1" x="64"/>
        <item m="1" x="113"/>
        <item m="1" x="37"/>
        <item m="1" x="12"/>
        <item m="1" x="176"/>
        <item m="1" x="178"/>
        <item m="1" x="76"/>
        <item m="1" x="34"/>
        <item m="1" x="55"/>
        <item m="1" x="50"/>
        <item m="1" x="46"/>
        <item m="1" x="177"/>
        <item m="1" x="17"/>
        <item m="1" x="186"/>
        <item m="1" x="92"/>
        <item m="1" x="142"/>
        <item m="1" x="65"/>
        <item m="1" x="57"/>
        <item m="1" x="66"/>
        <item m="1" x="33"/>
        <item m="1" x="191"/>
        <item m="1" x="111"/>
        <item m="1" x="106"/>
        <item m="1" x="24"/>
        <item m="1" x="157"/>
        <item m="1" x="26"/>
        <item m="1" x="125"/>
        <item m="1" x="102"/>
        <item m="1" x="94"/>
        <item m="1" x="73"/>
        <item m="1" x="53"/>
        <item m="1" x="38"/>
        <item m="1" x="14"/>
        <item m="1" x="8"/>
        <item m="1" x="182"/>
        <item m="1" x="165"/>
        <item m="1" x="23"/>
        <item m="1" x="67"/>
        <item m="1" x="36"/>
        <item m="1" x="9"/>
        <item m="1" x="183"/>
        <item m="1" x="149"/>
        <item m="1" x="131"/>
        <item m="1" x="107"/>
        <item m="1" x="41"/>
        <item m="1" x="11"/>
        <item m="1" x="4"/>
        <item m="1" x="15"/>
        <item m="1" x="28"/>
        <item m="1" x="150"/>
        <item m="1" x="109"/>
        <item m="1" x="68"/>
        <item m="1" x="127"/>
        <item m="1" x="86"/>
        <item m="1" x="63"/>
        <item m="1" x="145"/>
        <item m="1" x="40"/>
        <item m="1" x="99"/>
        <item m="1" x="128"/>
        <item m="1" x="75"/>
        <item m="1" x="140"/>
        <item m="1" x="135"/>
        <item m="1" x="3"/>
        <item m="1" x="121"/>
        <item m="1" x="9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">
    <i>
      <x/>
      <x v="3"/>
    </i>
    <i>
      <x v="2"/>
      <x v="19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8" firstHeaderRow="1" firstDataRow="1" firstDataCol="1"/>
  <pivotFields count="16">
    <pivotField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/>
    </i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8" firstHeaderRow="1" firstDataRow="1" firstDataCol="1"/>
  <pivotFields count="16">
    <pivotField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/>
    </i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8" firstHeaderRow="1" firstDataRow="1" firstDataCol="1"/>
  <pivotFields count="16">
    <pivotField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/>
    </i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5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8" firstHeaderRow="1" firstDataRow="1" firstDataCol="1"/>
  <pivotFields count="16">
    <pivotField showAll="0"/>
    <pivotField axis="axisRow" showAll="0">
      <items count="4"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 v="1"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8" firstHeaderRow="1" firstDataRow="1" firstDataCol="1"/>
  <pivotFields count="16">
    <pivotField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">
    <i>
      <x/>
    </i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8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">
    <i>
      <x/>
      <x v="2"/>
    </i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AC5BA943-4423-40A4-AA9B-8D35175CED98}">
    <text>Note that there is still a problem running with other cases here - still looking into it.</text>
  </threadedComment>
  <threadedComment ref="D19" dT="2020-08-07T12:32:29.60" personId="{8A307EF1-062C-4DD1-801F-D45833AE4B68}" id="{230F7878-D483-4C16-85B5-F653F61B75CE}">
    <text>Note that there is still a problem running with other cases here - still looking into it.</text>
  </threadedComment>
  <threadedComment ref="D20" dT="2020-08-07T12:32:29.60" personId="{8A307EF1-062C-4DD1-801F-D45833AE4B68}" id="{CA059FA7-08E5-486C-AB3A-7B25C83F46A7}">
    <text>Note that there is still a problem running with other cases here - still looking into it.</text>
  </threadedComment>
  <threadedComment ref="D21" dT="2020-08-07T12:32:29.60" personId="{8A307EF1-062C-4DD1-801F-D45833AE4B68}" id="{89A69CC2-61DB-4968-9058-E96CBEDE74A3}">
    <text>Note that there is still a problem running with other cases here - still looking into it.</text>
  </threadedComment>
  <threadedComment ref="D22" dT="2020-08-07T12:32:29.60" personId="{8A307EF1-062C-4DD1-801F-D45833AE4B68}" id="{1B64D05D-4765-442D-B929-37345BFEADDA}">
    <text>Note that there is still a problem running with other cases here - still looking into it.</text>
  </threadedComment>
  <threadedComment ref="D23" dT="2020-08-07T12:32:29.60" personId="{8A307EF1-062C-4DD1-801F-D45833AE4B68}" id="{6F091816-6B7C-4E14-A996-86F6F766500B}">
    <text>Note that there is still a problem running with other cases here - still looking into it.</text>
  </threadedComment>
  <threadedComment ref="D24" dT="2020-08-07T12:32:29.60" personId="{8A307EF1-062C-4DD1-801F-D45833AE4B68}" id="{80B76C32-5065-445C-B4CA-949AF3C466AE}">
    <text>Note that there is still a problem running with other cases here - still looking into it.</text>
  </threadedComment>
  <threadedComment ref="D25" dT="2020-08-07T12:32:29.60" personId="{8A307EF1-062C-4DD1-801F-D45833AE4B68}" id="{98C7D9E0-C6BE-4384-B3AA-9CA99F4E582B}">
    <text>Note that there is still a problem running with other cases here - still looking into it.</text>
  </threadedComment>
  <threadedComment ref="D26" dT="2020-08-07T12:32:29.60" personId="{8A307EF1-062C-4DD1-801F-D45833AE4B68}" id="{09AECD53-5E0F-4AAD-86D9-0A176D1BEB4C}">
    <text>Note that there is still a problem running with other cases here - still looking into it.</text>
  </threadedComment>
  <threadedComment ref="D34" dT="2020-08-07T12:32:29.60" personId="{8A307EF1-062C-4DD1-801F-D45833AE4B68}" id="{42BE1C3A-86F6-4EE3-967C-17E110984347}">
    <text>Note that there is still a problem running with other cases here - still looking into it.</text>
  </threadedComment>
  <threadedComment ref="D35" dT="2020-08-07T12:32:29.60" personId="{8A307EF1-062C-4DD1-801F-D45833AE4B68}" id="{2E057A1D-61F2-468B-8278-F722F83FC647}">
    <text>Note that there is still a problem running with other cases here - still looking into it.</text>
  </threadedComment>
  <threadedComment ref="D6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tabSelected="1"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23"/>
  <sheetViews>
    <sheetView topLeftCell="M1" workbookViewId="0">
      <selection activeCell="AF8" sqref="AF8:AF16"/>
    </sheetView>
  </sheetViews>
  <sheetFormatPr defaultRowHeight="15"/>
  <cols>
    <col min="1" max="2" width="13.140625" bestFit="1" customWidth="1"/>
    <col min="3" max="3" width="13.140625" customWidth="1"/>
    <col min="4" max="5" width="13.140625" bestFit="1" customWidth="1"/>
    <col min="6" max="6" width="23" bestFit="1" customWidth="1"/>
    <col min="7" max="7" width="13.140625" bestFit="1" customWidth="1"/>
    <col min="8" max="8" width="19.85546875" bestFit="1" customWidth="1"/>
    <col min="9" max="9" width="13.140625" bestFit="1" customWidth="1"/>
    <col min="10" max="10" width="18.5703125" bestFit="1" customWidth="1"/>
    <col min="11" max="11" width="13.140625" bestFit="1" customWidth="1"/>
    <col min="12" max="12" width="20.7109375" bestFit="1" customWidth="1"/>
    <col min="13" max="13" width="13.14062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13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3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215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216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>
        <v>0</v>
      </c>
      <c r="G7" s="9" t="s">
        <v>193</v>
      </c>
      <c r="I7" s="9" t="s">
        <v>193</v>
      </c>
      <c r="K7" s="9" t="s">
        <v>193</v>
      </c>
      <c r="M7" s="9" t="s">
        <v>193</v>
      </c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AA7" s="9" t="s">
        <v>193</v>
      </c>
      <c r="AD7" s="10">
        <v>2021</v>
      </c>
      <c r="AE7" s="10">
        <f>2051-Scenarios!G6</f>
        <v>2048</v>
      </c>
      <c r="AF7">
        <v>2021</v>
      </c>
      <c r="AM7" t="s">
        <v>14</v>
      </c>
    </row>
    <row r="8" spans="1:39">
      <c r="A8" s="9" t="s">
        <v>239</v>
      </c>
      <c r="B8" s="9" t="s">
        <v>240</v>
      </c>
      <c r="C8" s="9" t="s">
        <v>31</v>
      </c>
      <c r="D8" s="9" t="s">
        <v>193</v>
      </c>
      <c r="E8" s="9" t="s">
        <v>239</v>
      </c>
      <c r="F8">
        <v>1</v>
      </c>
      <c r="G8" s="9" t="s">
        <v>239</v>
      </c>
      <c r="H8">
        <v>0</v>
      </c>
      <c r="I8" s="9" t="s">
        <v>239</v>
      </c>
      <c r="J8">
        <v>0</v>
      </c>
      <c r="K8" s="9" t="s">
        <v>239</v>
      </c>
      <c r="L8">
        <v>0</v>
      </c>
      <c r="M8" s="9" t="s">
        <v>239</v>
      </c>
      <c r="N8">
        <v>0</v>
      </c>
      <c r="O8" t="s">
        <v>239</v>
      </c>
      <c r="P8" t="s">
        <v>240</v>
      </c>
      <c r="Q8" t="s">
        <v>239</v>
      </c>
      <c r="R8" t="s">
        <v>30</v>
      </c>
      <c r="S8" s="9" t="s">
        <v>239</v>
      </c>
      <c r="T8">
        <v>-1</v>
      </c>
      <c r="U8">
        <v>-1</v>
      </c>
      <c r="V8">
        <v>-1</v>
      </c>
      <c r="W8">
        <v>1</v>
      </c>
      <c r="X8">
        <v>-1</v>
      </c>
      <c r="AA8" s="9" t="s">
        <v>239</v>
      </c>
      <c r="AB8">
        <v>100</v>
      </c>
      <c r="AD8" s="10">
        <f>AD7+1</f>
        <v>2022</v>
      </c>
      <c r="AE8" s="10">
        <f>IF(OR(AE7=2050,AE7=""),"",AE7+1)</f>
        <v>2049</v>
      </c>
      <c r="AF8">
        <f>AF7+1</f>
        <v>2022</v>
      </c>
      <c r="AM8" t="s">
        <v>15</v>
      </c>
    </row>
    <row r="9" spans="1:39">
      <c r="C9" s="9" t="s">
        <v>32</v>
      </c>
      <c r="AD9" s="10">
        <f t="shared" ref="AD9:AD22" si="0">AD8+1</f>
        <v>2023</v>
      </c>
      <c r="AE9" s="10">
        <f>IF(OR(AE8=2050,AE8=""),"",AE8+1)</f>
        <v>2050</v>
      </c>
      <c r="AF9">
        <f t="shared" ref="AF9:AF16" si="1">AF8+1</f>
        <v>2023</v>
      </c>
      <c r="AM9" t="s">
        <v>16</v>
      </c>
    </row>
    <row r="10" spans="1:39">
      <c r="C10" s="9" t="s">
        <v>46</v>
      </c>
      <c r="AD10" s="10">
        <f t="shared" si="0"/>
        <v>2024</v>
      </c>
      <c r="AE10" s="10" t="str">
        <f t="shared" ref="AE10:AE13" si="2">IF(OR(AE9=2050,AE9=""),"",AE9+1)</f>
        <v/>
      </c>
      <c r="AF10">
        <f t="shared" si="1"/>
        <v>2024</v>
      </c>
      <c r="AM10" t="s">
        <v>17</v>
      </c>
    </row>
    <row r="11" spans="1:39">
      <c r="C11" s="9" t="s">
        <v>47</v>
      </c>
      <c r="AD11" s="10">
        <f t="shared" si="0"/>
        <v>2025</v>
      </c>
      <c r="AE11" s="10" t="str">
        <f t="shared" si="2"/>
        <v/>
      </c>
      <c r="AF11">
        <f t="shared" si="1"/>
        <v>2025</v>
      </c>
      <c r="AM11" t="s">
        <v>18</v>
      </c>
    </row>
    <row r="12" spans="1:39">
      <c r="C12" s="9" t="s">
        <v>48</v>
      </c>
      <c r="D12" s="9"/>
      <c r="AD12" s="10">
        <f t="shared" si="0"/>
        <v>2026</v>
      </c>
      <c r="AE12" s="10" t="str">
        <f t="shared" si="2"/>
        <v/>
      </c>
      <c r="AF12">
        <f t="shared" si="1"/>
        <v>2026</v>
      </c>
      <c r="AM12" t="s">
        <v>19</v>
      </c>
    </row>
    <row r="13" spans="1:39">
      <c r="C13" s="9" t="s">
        <v>49</v>
      </c>
      <c r="D13" s="9"/>
      <c r="AD13" s="10">
        <f t="shared" si="0"/>
        <v>2027</v>
      </c>
      <c r="AE13" s="10" t="str">
        <f t="shared" si="2"/>
        <v/>
      </c>
      <c r="AF13">
        <f t="shared" si="1"/>
        <v>2027</v>
      </c>
      <c r="AM13" t="s">
        <v>20</v>
      </c>
    </row>
    <row r="14" spans="1:39">
      <c r="C14" s="9" t="s">
        <v>50</v>
      </c>
      <c r="D14" s="9"/>
      <c r="AD14" s="10">
        <f t="shared" si="0"/>
        <v>2028</v>
      </c>
      <c r="AF14">
        <f t="shared" si="1"/>
        <v>2028</v>
      </c>
      <c r="AM14" t="s">
        <v>21</v>
      </c>
    </row>
    <row r="15" spans="1:39">
      <c r="C15" s="9" t="s">
        <v>51</v>
      </c>
      <c r="D15" s="9"/>
      <c r="AD15" s="10">
        <f t="shared" si="0"/>
        <v>2029</v>
      </c>
      <c r="AF15">
        <f t="shared" si="1"/>
        <v>2029</v>
      </c>
      <c r="AM15" t="s">
        <v>22</v>
      </c>
    </row>
    <row r="16" spans="1:39">
      <c r="C16" s="9" t="s">
        <v>52</v>
      </c>
      <c r="D16" s="9"/>
      <c r="AD16" s="10">
        <f t="shared" si="0"/>
        <v>2030</v>
      </c>
      <c r="AF16">
        <f t="shared" si="1"/>
        <v>2030</v>
      </c>
      <c r="AM16" t="s">
        <v>5</v>
      </c>
    </row>
    <row r="17" spans="39:39">
      <c r="AM17" t="s">
        <v>23</v>
      </c>
    </row>
    <row r="18" spans="39:39">
      <c r="AM18" t="s">
        <v>25</v>
      </c>
    </row>
    <row r="19" spans="39:39">
      <c r="AM19" t="s">
        <v>24</v>
      </c>
    </row>
    <row r="20" spans="39:39">
      <c r="AM20" t="s">
        <v>11</v>
      </c>
    </row>
    <row r="21" spans="39:39">
      <c r="AM21" t="s">
        <v>11</v>
      </c>
    </row>
    <row r="22" spans="39:39">
      <c r="AM22" t="s">
        <v>11</v>
      </c>
    </row>
    <row r="23" spans="39:39">
      <c r="AM23" t="s">
        <v>11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05"/>
  <sheetViews>
    <sheetView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1" sqref="A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C:\Models\SATIM-EL\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/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211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214</v>
      </c>
      <c r="U5">
        <v>100</v>
      </c>
      <c r="AZ5" t="s">
        <v>207</v>
      </c>
    </row>
    <row r="6" spans="1:57">
      <c r="A6" s="4">
        <f>SUM(A10:A104)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212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SUM(AY10:AY66)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213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210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232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235</v>
      </c>
      <c r="BA9" t="s">
        <v>233</v>
      </c>
      <c r="BB9" t="s">
        <v>234</v>
      </c>
      <c r="BC9" t="s">
        <v>236</v>
      </c>
      <c r="BD9" t="s">
        <v>237</v>
      </c>
      <c r="BE9" t="s">
        <v>238</v>
      </c>
    </row>
    <row r="10" spans="1:57">
      <c r="A10" s="17">
        <v>1</v>
      </c>
      <c r="B10" t="s">
        <v>239</v>
      </c>
      <c r="C10" t="s">
        <v>195</v>
      </c>
      <c r="D10" t="s">
        <v>30</v>
      </c>
      <c r="E10" t="s">
        <v>240</v>
      </c>
      <c r="F10">
        <v>0</v>
      </c>
      <c r="G10">
        <v>0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/>
      <c r="AY11">
        <v>0</v>
      </c>
    </row>
    <row r="12" spans="1:57">
      <c r="A12" s="17"/>
      <c r="AY12">
        <v>0</v>
      </c>
    </row>
    <row r="13" spans="1:57">
      <c r="A13" s="17"/>
      <c r="B13" s="20"/>
      <c r="E13" s="13"/>
      <c r="AY13">
        <v>0</v>
      </c>
      <c r="AZ13">
        <v>1</v>
      </c>
    </row>
    <row r="14" spans="1:57">
      <c r="A14" s="17"/>
      <c r="B14" s="19"/>
      <c r="E14" s="13"/>
      <c r="AY14">
        <v>0</v>
      </c>
      <c r="AZ14">
        <v>1</v>
      </c>
    </row>
    <row r="15" spans="1:57" ht="16.5" customHeight="1">
      <c r="A15" s="17"/>
      <c r="AY15">
        <v>0</v>
      </c>
      <c r="BA15">
        <v>1</v>
      </c>
    </row>
    <row r="16" spans="1:57" ht="17.25" customHeight="1">
      <c r="A16" s="17"/>
      <c r="AY16">
        <v>0</v>
      </c>
      <c r="BA16">
        <v>1</v>
      </c>
    </row>
    <row r="17" spans="1:56" ht="17.25" customHeight="1">
      <c r="A17" s="17"/>
      <c r="AY17">
        <v>0</v>
      </c>
      <c r="BA17">
        <v>1</v>
      </c>
      <c r="BD17">
        <v>1</v>
      </c>
    </row>
    <row r="18" spans="1:56" ht="17.25" customHeight="1">
      <c r="A18" s="17"/>
      <c r="AY18">
        <v>0</v>
      </c>
      <c r="BA18">
        <v>1</v>
      </c>
      <c r="BD18">
        <v>1</v>
      </c>
    </row>
    <row r="19" spans="1:56" ht="17.25" customHeight="1">
      <c r="A19" s="17"/>
      <c r="AY19">
        <v>0</v>
      </c>
      <c r="BA19">
        <v>1</v>
      </c>
      <c r="BD19">
        <v>1</v>
      </c>
    </row>
    <row r="20" spans="1:56" ht="17.25" customHeight="1">
      <c r="A20" s="17"/>
      <c r="AY20">
        <v>0</v>
      </c>
      <c r="BA20">
        <v>1</v>
      </c>
      <c r="BD20">
        <v>1</v>
      </c>
    </row>
    <row r="21" spans="1:56" s="24" customFormat="1">
      <c r="A21" s="23"/>
      <c r="AY21" s="24">
        <v>0</v>
      </c>
      <c r="BA21" s="24">
        <v>1</v>
      </c>
      <c r="BD21" s="24">
        <v>1</v>
      </c>
    </row>
    <row r="22" spans="1:56" s="24" customFormat="1">
      <c r="A22" s="23"/>
      <c r="AY22" s="24">
        <v>0</v>
      </c>
      <c r="BA22" s="24">
        <v>1</v>
      </c>
      <c r="BD22" s="24">
        <v>1</v>
      </c>
    </row>
    <row r="23" spans="1:56">
      <c r="A23" s="17"/>
      <c r="AY23">
        <v>0</v>
      </c>
      <c r="BA23">
        <v>1</v>
      </c>
    </row>
    <row r="24" spans="1:56">
      <c r="A24" s="17"/>
      <c r="AY24">
        <v>0</v>
      </c>
      <c r="BA24">
        <v>1</v>
      </c>
    </row>
    <row r="25" spans="1:56">
      <c r="A25" s="17"/>
      <c r="AY25">
        <v>0</v>
      </c>
      <c r="BA25">
        <v>1</v>
      </c>
    </row>
    <row r="26" spans="1:56">
      <c r="A26" s="17"/>
      <c r="AY26">
        <v>0</v>
      </c>
      <c r="BA26">
        <v>1</v>
      </c>
    </row>
    <row r="27" spans="1:56" s="24" customFormat="1">
      <c r="A27" s="23"/>
      <c r="BB27" s="24">
        <v>1</v>
      </c>
      <c r="BD27" s="24">
        <v>1</v>
      </c>
    </row>
    <row r="28" spans="1:56">
      <c r="A28" s="17"/>
      <c r="BB28">
        <v>1</v>
      </c>
    </row>
    <row r="29" spans="1:56">
      <c r="A29" s="17"/>
      <c r="BB29">
        <v>1</v>
      </c>
    </row>
    <row r="30" spans="1:56">
      <c r="A30" s="17"/>
      <c r="BB30">
        <v>1</v>
      </c>
    </row>
    <row r="31" spans="1:56">
      <c r="A31" s="17"/>
      <c r="BB31">
        <v>1</v>
      </c>
    </row>
    <row r="32" spans="1:56">
      <c r="A32" s="17"/>
      <c r="BB32">
        <v>1</v>
      </c>
    </row>
    <row r="33" spans="1:65">
      <c r="A33" s="17"/>
      <c r="BB33">
        <v>1</v>
      </c>
    </row>
    <row r="34" spans="1:65" s="18" customFormat="1">
      <c r="A34" s="21"/>
      <c r="P34" s="22"/>
      <c r="BB34" s="18">
        <v>1</v>
      </c>
    </row>
    <row r="35" spans="1:65">
      <c r="A35" s="17"/>
      <c r="P35" s="22"/>
      <c r="BB35">
        <v>1</v>
      </c>
      <c r="BM35" t="s">
        <v>217</v>
      </c>
    </row>
    <row r="36" spans="1:65">
      <c r="A36" s="17"/>
      <c r="P36" s="22"/>
      <c r="BB36">
        <v>1</v>
      </c>
      <c r="BM36" t="s">
        <v>218</v>
      </c>
    </row>
    <row r="37" spans="1:65">
      <c r="A37" s="17"/>
      <c r="P37" s="22"/>
      <c r="BB37">
        <v>1</v>
      </c>
      <c r="BM37" t="s">
        <v>219</v>
      </c>
    </row>
    <row r="38" spans="1:65">
      <c r="A38" s="17"/>
      <c r="P38" s="22"/>
      <c r="BB38">
        <v>1</v>
      </c>
      <c r="BM38" t="s">
        <v>220</v>
      </c>
    </row>
    <row r="39" spans="1:65">
      <c r="A39" s="17"/>
      <c r="P39" s="22"/>
      <c r="BB39">
        <v>1</v>
      </c>
      <c r="BM39" t="s">
        <v>221</v>
      </c>
    </row>
    <row r="40" spans="1:65">
      <c r="A40" s="17"/>
      <c r="P40" s="22"/>
      <c r="BB40">
        <v>1</v>
      </c>
      <c r="BM40" t="s">
        <v>222</v>
      </c>
    </row>
    <row r="41" spans="1:65">
      <c r="A41" s="17"/>
      <c r="P41" s="22"/>
      <c r="BB41">
        <v>1</v>
      </c>
      <c r="BM41" t="s">
        <v>223</v>
      </c>
    </row>
    <row r="42" spans="1:65">
      <c r="A42" s="17"/>
      <c r="P42" s="22"/>
      <c r="BB42">
        <v>1</v>
      </c>
      <c r="BM42" t="s">
        <v>224</v>
      </c>
    </row>
    <row r="43" spans="1:65">
      <c r="A43" s="17"/>
      <c r="P43" s="22"/>
      <c r="BB43">
        <v>1</v>
      </c>
      <c r="BM43" t="s">
        <v>225</v>
      </c>
    </row>
    <row r="44" spans="1:65">
      <c r="A44" s="17"/>
      <c r="P44" s="22"/>
      <c r="BB44">
        <v>1</v>
      </c>
      <c r="BM44" t="s">
        <v>226</v>
      </c>
    </row>
    <row r="45" spans="1:65">
      <c r="A45" s="17"/>
      <c r="L45" s="13"/>
      <c r="M45" s="13"/>
      <c r="P45" s="22"/>
      <c r="BB45">
        <v>1</v>
      </c>
      <c r="BM45" t="s">
        <v>227</v>
      </c>
    </row>
    <row r="46" spans="1:65">
      <c r="A46" s="17"/>
      <c r="P46" s="22"/>
      <c r="BB46">
        <v>1</v>
      </c>
      <c r="BM46" t="s">
        <v>228</v>
      </c>
    </row>
    <row r="47" spans="1:65">
      <c r="A47" s="17"/>
      <c r="P47" s="22"/>
      <c r="BB47">
        <v>1</v>
      </c>
      <c r="BM47" t="s">
        <v>229</v>
      </c>
    </row>
    <row r="48" spans="1:65">
      <c r="A48" s="17"/>
      <c r="P48" s="22"/>
      <c r="BB48">
        <v>1</v>
      </c>
      <c r="BM48" t="s">
        <v>230</v>
      </c>
    </row>
    <row r="49" spans="1:65">
      <c r="A49" s="17"/>
      <c r="P49" s="22"/>
      <c r="BB49">
        <v>1</v>
      </c>
      <c r="BM49" t="s">
        <v>231</v>
      </c>
    </row>
    <row r="50" spans="1:65">
      <c r="A50" s="17"/>
      <c r="P50" s="22"/>
      <c r="BB50">
        <v>1</v>
      </c>
    </row>
    <row r="51" spans="1:65">
      <c r="A51" s="17"/>
      <c r="P51" s="22"/>
      <c r="BB51">
        <v>1</v>
      </c>
    </row>
    <row r="52" spans="1:65">
      <c r="A52" s="17"/>
      <c r="P52" s="22"/>
      <c r="BB52">
        <v>1</v>
      </c>
    </row>
    <row r="53" spans="1:65">
      <c r="A53" s="17"/>
      <c r="L53" s="13"/>
      <c r="M53" s="13"/>
      <c r="P53" s="22"/>
      <c r="BB53">
        <v>1</v>
      </c>
    </row>
    <row r="54" spans="1:65">
      <c r="A54" s="17"/>
      <c r="L54" s="13"/>
      <c r="M54" s="13"/>
      <c r="P54" s="22"/>
      <c r="BB54">
        <v>1</v>
      </c>
    </row>
    <row r="55" spans="1:65">
      <c r="A55" s="17"/>
      <c r="L55" s="13"/>
      <c r="M55" s="13"/>
      <c r="P55" s="22"/>
      <c r="BB55">
        <v>1</v>
      </c>
    </row>
    <row r="56" spans="1:65">
      <c r="A56" s="17"/>
      <c r="P56" s="22"/>
      <c r="BB56">
        <v>1</v>
      </c>
    </row>
    <row r="57" spans="1:65">
      <c r="A57" s="17"/>
      <c r="L57" s="13"/>
      <c r="M57" s="13"/>
      <c r="P57" s="22"/>
      <c r="BB57">
        <v>1</v>
      </c>
    </row>
    <row r="58" spans="1:65">
      <c r="A58" s="17"/>
      <c r="P58" s="22"/>
      <c r="BB58">
        <v>1</v>
      </c>
    </row>
    <row r="59" spans="1:65">
      <c r="A59" s="17"/>
      <c r="P59" s="22"/>
      <c r="BB59">
        <v>1</v>
      </c>
    </row>
    <row r="60" spans="1:65">
      <c r="A60" s="17"/>
      <c r="P60" s="22"/>
      <c r="BB60">
        <v>1</v>
      </c>
    </row>
    <row r="61" spans="1:65">
      <c r="A61" s="17"/>
      <c r="L61" s="13"/>
      <c r="M61" s="13"/>
      <c r="P61" s="22"/>
      <c r="BB61">
        <v>1</v>
      </c>
    </row>
    <row r="62" spans="1:65">
      <c r="A62" s="17"/>
      <c r="L62" s="13"/>
      <c r="M62" s="13"/>
      <c r="P62" s="22"/>
      <c r="BB62">
        <v>1</v>
      </c>
    </row>
    <row r="63" spans="1:65">
      <c r="A63" s="17"/>
      <c r="L63" s="13"/>
      <c r="M63" s="13"/>
      <c r="P63" s="22"/>
      <c r="BB63">
        <v>1</v>
      </c>
    </row>
    <row r="64" spans="1:65">
      <c r="A64" s="17"/>
      <c r="P64" s="22"/>
      <c r="BB64">
        <v>1</v>
      </c>
    </row>
    <row r="65" spans="1:54">
      <c r="A65" s="17"/>
      <c r="P65" s="22"/>
      <c r="BB65">
        <v>1</v>
      </c>
    </row>
    <row r="66" spans="1:54">
      <c r="A66" s="17"/>
      <c r="P66" s="22"/>
      <c r="BB66">
        <v>1</v>
      </c>
    </row>
    <row r="67" spans="1:54">
      <c r="A67" s="17"/>
      <c r="P67" s="22"/>
      <c r="BB67">
        <v>1</v>
      </c>
    </row>
    <row r="68" spans="1:54">
      <c r="A68" s="17"/>
      <c r="P68" s="22"/>
      <c r="BB68">
        <v>1</v>
      </c>
    </row>
    <row r="69" spans="1:54">
      <c r="A69" s="17"/>
      <c r="P69" s="22"/>
      <c r="BB69">
        <v>1</v>
      </c>
    </row>
    <row r="70" spans="1:54">
      <c r="A70" s="17"/>
      <c r="P70" s="22"/>
      <c r="BB70">
        <v>1</v>
      </c>
    </row>
    <row r="71" spans="1:54">
      <c r="A71" s="17"/>
      <c r="L71" s="13"/>
      <c r="M71" s="13"/>
      <c r="P71" s="22"/>
      <c r="BB71">
        <v>1</v>
      </c>
    </row>
    <row r="72" spans="1:54">
      <c r="A72" s="17"/>
      <c r="L72" s="13"/>
      <c r="M72" s="13"/>
      <c r="P72" s="22"/>
      <c r="BB72">
        <v>1</v>
      </c>
    </row>
    <row r="73" spans="1:54">
      <c r="A73" s="17"/>
      <c r="L73" s="13"/>
      <c r="M73" s="13"/>
      <c r="P73" s="22"/>
      <c r="BB73">
        <v>1</v>
      </c>
    </row>
    <row r="74" spans="1:54">
      <c r="A74" s="17"/>
      <c r="P74" s="22"/>
      <c r="BB74">
        <v>1</v>
      </c>
    </row>
    <row r="75" spans="1:54">
      <c r="A75" s="17"/>
      <c r="L75" s="13"/>
      <c r="M75" s="13"/>
      <c r="P75" s="22"/>
      <c r="BB75">
        <v>1</v>
      </c>
    </row>
    <row r="76" spans="1:54">
      <c r="A76" s="17"/>
      <c r="P76" s="22"/>
      <c r="BB76">
        <v>1</v>
      </c>
    </row>
    <row r="77" spans="1:54">
      <c r="A77" s="17"/>
      <c r="P77" s="22"/>
      <c r="BB77">
        <v>1</v>
      </c>
    </row>
    <row r="78" spans="1:54">
      <c r="A78" s="17"/>
      <c r="P78" s="22"/>
      <c r="BB78">
        <v>1</v>
      </c>
    </row>
    <row r="79" spans="1:54">
      <c r="A79" s="17"/>
      <c r="L79" s="13"/>
      <c r="M79" s="13"/>
      <c r="P79" s="22"/>
      <c r="BB79">
        <v>1</v>
      </c>
    </row>
    <row r="80" spans="1:54">
      <c r="A80" s="17"/>
      <c r="L80" s="13"/>
      <c r="M80" s="13"/>
      <c r="P80" s="22"/>
      <c r="BB80">
        <v>1</v>
      </c>
    </row>
    <row r="81" spans="1:54">
      <c r="A81" s="17"/>
      <c r="L81" s="13"/>
      <c r="M81" s="13"/>
      <c r="P81" s="22"/>
      <c r="BB81">
        <v>1</v>
      </c>
    </row>
    <row r="82" spans="1:54">
      <c r="A82" s="17"/>
      <c r="P82" s="22"/>
      <c r="BB82">
        <v>1</v>
      </c>
    </row>
    <row r="83" spans="1:54">
      <c r="A83" s="17"/>
      <c r="P83" s="22"/>
      <c r="BB83">
        <v>1</v>
      </c>
    </row>
    <row r="84" spans="1:54">
      <c r="A84" s="17"/>
      <c r="P84" s="22"/>
      <c r="BB84">
        <v>1</v>
      </c>
    </row>
    <row r="85" spans="1:54">
      <c r="A85" s="17"/>
      <c r="P85" s="22"/>
      <c r="BB85">
        <v>1</v>
      </c>
    </row>
    <row r="86" spans="1:54">
      <c r="A86" s="17"/>
      <c r="P86" s="22"/>
      <c r="BB86">
        <v>1</v>
      </c>
    </row>
    <row r="87" spans="1:54">
      <c r="A87" s="17"/>
      <c r="P87" s="22"/>
      <c r="BB87">
        <v>1</v>
      </c>
    </row>
    <row r="88" spans="1:54">
      <c r="A88" s="17"/>
      <c r="P88" s="22"/>
      <c r="BB88">
        <v>1</v>
      </c>
    </row>
    <row r="89" spans="1:54">
      <c r="A89" s="17"/>
      <c r="L89" s="13"/>
      <c r="M89" s="13"/>
      <c r="P89" s="22"/>
      <c r="BB89">
        <v>1</v>
      </c>
    </row>
    <row r="90" spans="1:54">
      <c r="A90" s="17"/>
      <c r="L90" s="13"/>
      <c r="M90" s="13"/>
      <c r="P90" s="22"/>
      <c r="BB90">
        <v>1</v>
      </c>
    </row>
    <row r="91" spans="1:54">
      <c r="A91" s="17"/>
      <c r="L91" s="13"/>
      <c r="M91" s="13"/>
      <c r="P91" s="22"/>
      <c r="BB91">
        <v>1</v>
      </c>
    </row>
    <row r="92" spans="1:54">
      <c r="A92" s="17"/>
      <c r="P92" s="22"/>
      <c r="BB92">
        <v>1</v>
      </c>
    </row>
    <row r="93" spans="1:54">
      <c r="A93" s="17"/>
      <c r="L93" s="13"/>
      <c r="M93" s="13"/>
      <c r="P93" s="22"/>
      <c r="BB93">
        <v>1</v>
      </c>
    </row>
    <row r="94" spans="1:54">
      <c r="A94" s="17"/>
      <c r="P94" s="22"/>
      <c r="BB94">
        <v>1</v>
      </c>
    </row>
    <row r="95" spans="1:54">
      <c r="A95" s="17"/>
      <c r="P95" s="22"/>
      <c r="BB95">
        <v>1</v>
      </c>
    </row>
    <row r="96" spans="1:54">
      <c r="A96" s="17"/>
      <c r="P96" s="22"/>
      <c r="BB96">
        <v>1</v>
      </c>
    </row>
    <row r="97" spans="1:57">
      <c r="A97" s="17"/>
      <c r="L97" s="13"/>
      <c r="M97" s="13"/>
      <c r="P97" s="22"/>
      <c r="BB97">
        <v>1</v>
      </c>
    </row>
    <row r="98" spans="1:57">
      <c r="A98" s="17"/>
      <c r="L98" s="13"/>
      <c r="M98" s="13"/>
      <c r="P98" s="22"/>
      <c r="BB98">
        <v>1</v>
      </c>
    </row>
    <row r="99" spans="1:57">
      <c r="A99" s="17"/>
      <c r="L99" s="13"/>
      <c r="M99" s="13"/>
      <c r="P99" s="22"/>
      <c r="BB99">
        <v>1</v>
      </c>
    </row>
    <row r="100" spans="1:57">
      <c r="A100" s="17"/>
      <c r="P100" s="22"/>
      <c r="BB100">
        <v>1</v>
      </c>
      <c r="BE100">
        <v>1</v>
      </c>
    </row>
    <row r="101" spans="1:57">
      <c r="A101" s="17"/>
      <c r="P101" s="22"/>
      <c r="BB101">
        <v>1</v>
      </c>
      <c r="BE101">
        <v>1</v>
      </c>
    </row>
    <row r="102" spans="1:57">
      <c r="A102" s="17"/>
      <c r="P102" s="22"/>
      <c r="BB102">
        <v>1</v>
      </c>
      <c r="BE102">
        <v>1</v>
      </c>
    </row>
    <row r="103" spans="1:57">
      <c r="A103" s="17"/>
      <c r="BB103">
        <v>1</v>
      </c>
      <c r="BE103">
        <v>1</v>
      </c>
    </row>
    <row r="104" spans="1:57">
      <c r="A104" s="17"/>
      <c r="L104" s="13"/>
      <c r="M104" s="13"/>
      <c r="P104" s="22"/>
      <c r="BB104">
        <v>1</v>
      </c>
      <c r="BE104">
        <v>1</v>
      </c>
    </row>
    <row r="105" spans="1:57">
      <c r="A105" s="17"/>
    </row>
  </sheetData>
  <autoFilter ref="A9:BH104" xr:uid="{00000000-0001-0000-0E00-000000000000}"/>
  <sortState xmlns:xlrd2="http://schemas.microsoft.com/office/spreadsheetml/2017/richdata2" ref="A10:BH66">
    <sortCondition ref="B10:B66"/>
  </sortState>
  <mergeCells count="1">
    <mergeCell ref="R6:AE6"/>
  </mergeCells>
  <phoneticPr fontId="34" type="noConversion"/>
  <conditionalFormatting sqref="A106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11">
    <cfRule type="iconSet" priority="22">
      <iconSet>
        <cfvo type="percent" val="0"/>
        <cfvo type="percent" val="33"/>
        <cfvo type="percent" val="67"/>
      </iconSet>
    </cfRule>
  </conditionalFormatting>
  <conditionalFormatting sqref="A34:A105">
    <cfRule type="iconSet" priority="904">
      <iconSet>
        <cfvo type="percent" val="0"/>
        <cfvo type="percent" val="33"/>
        <cfvo type="percent" val="67"/>
      </iconSet>
    </cfRule>
  </conditionalFormatting>
  <conditionalFormatting sqref="A13:A14">
    <cfRule type="iconSet" priority="909">
      <iconSet>
        <cfvo type="percent" val="0"/>
        <cfvo type="percent" val="33"/>
        <cfvo type="percent" val="67"/>
      </iconSet>
    </cfRule>
  </conditionalFormatting>
  <conditionalFormatting sqref="A10:A105">
    <cfRule type="iconSet" priority="924">
      <iconSet>
        <cfvo type="percent" val="0"/>
        <cfvo type="percent" val="33"/>
        <cfvo type="percent" val="67"/>
      </iconSet>
    </cfRule>
  </conditionalFormatting>
  <conditionalFormatting sqref="A13:A105">
    <cfRule type="iconSet" priority="928">
      <iconSet>
        <cfvo type="percent" val="0"/>
        <cfvo type="percent" val="33"/>
        <cfvo type="percent" val="67"/>
      </iconSet>
    </cfRule>
  </conditionalFormatting>
  <conditionalFormatting sqref="A10:A10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05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2023-04-23T11:02:16Z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